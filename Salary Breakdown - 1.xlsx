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TM\"/>
    </mc:Choice>
  </mc:AlternateContent>
  <xr:revisionPtr revIDLastSave="0" documentId="13_ncr:1_{607270FC-8A23-4E20-8DF5-58A573AC0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B" sheetId="1" r:id="rId1"/>
  </sheets>
  <definedNames>
    <definedName name="_xlnm.Print_Area" localSheetId="0">SB!$A$3:$L$21</definedName>
  </definedNames>
  <calcPr calcId="191029"/>
</workbook>
</file>

<file path=xl/calcChain.xml><?xml version="1.0" encoding="utf-8"?>
<calcChain xmlns="http://schemas.openxmlformats.org/spreadsheetml/2006/main">
  <c r="C14" i="1" l="1"/>
  <c r="C13" i="1"/>
  <c r="B5" i="1"/>
  <c r="F5" i="1" s="1"/>
  <c r="B6" i="1" l="1"/>
  <c r="F6" i="1" l="1"/>
  <c r="B7" i="1"/>
  <c r="F7" i="1" s="1"/>
  <c r="B8" i="1" l="1"/>
  <c r="F8" i="1" s="1"/>
  <c r="B9" i="1" l="1"/>
  <c r="F9" i="1" s="1"/>
  <c r="B10" i="1" l="1"/>
  <c r="F10" i="1" s="1"/>
  <c r="F11" i="1" l="1"/>
</calcChain>
</file>

<file path=xl/sharedStrings.xml><?xml version="1.0" encoding="utf-8"?>
<sst xmlns="http://schemas.openxmlformats.org/spreadsheetml/2006/main" count="15" uniqueCount="15">
  <si>
    <t>Hours</t>
  </si>
  <si>
    <t>Days</t>
  </si>
  <si>
    <t>Total</t>
  </si>
  <si>
    <t>Gross Salary</t>
  </si>
  <si>
    <t>Rest Day</t>
  </si>
  <si>
    <t>Work Day</t>
  </si>
  <si>
    <t>Normal Day</t>
  </si>
  <si>
    <t>Normal Day OT</t>
  </si>
  <si>
    <t>Rest Day OT</t>
  </si>
  <si>
    <t xml:space="preserve">Public Holiday </t>
  </si>
  <si>
    <t>Public Holiday OT</t>
  </si>
  <si>
    <t>Multiplier</t>
  </si>
  <si>
    <t>Hourly Payment Rate</t>
  </si>
  <si>
    <t>Basic RM1700</t>
  </si>
  <si>
    <t>Cost Analysis Based Per Local Guard Charges And Cost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</si>
</sst>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1" applyFont="1" applyBorder="1"/>
    <xf numFmtId="165" fontId="2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5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7" fillId="0" borderId="1" xfId="1" applyFont="1" applyBorder="1"/>
    <xf numFmtId="2" fontId="7" fillId="0" borderId="1" xfId="0" applyNumberFormat="1" applyFont="1" applyBorder="1"/>
    <xf numFmtId="165" fontId="7" fillId="0" borderId="1" xfId="0" applyNumberFormat="1" applyFont="1" applyBorder="1"/>
    <xf numFmtId="2" fontId="8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2" zoomScaleNormal="100" zoomScaleSheetLayoutView="50" workbookViewId="0">
      <selection activeCell="G13" sqref="G13"/>
    </sheetView>
  </sheetViews>
  <sheetFormatPr defaultRowHeight="14.4" x14ac:dyDescent="0.3"/>
  <cols>
    <col min="1" max="1" width="57.21875" bestFit="1" customWidth="1"/>
    <col min="2" max="2" width="28.109375" bestFit="1" customWidth="1"/>
    <col min="3" max="3" width="13.88671875" bestFit="1" customWidth="1"/>
    <col min="4" max="4" width="38.6640625" bestFit="1" customWidth="1"/>
    <col min="5" max="5" width="23.44140625" customWidth="1"/>
    <col min="6" max="6" width="14" bestFit="1" customWidth="1"/>
    <col min="7" max="7" width="10.33203125" bestFit="1" customWidth="1"/>
    <col min="8" max="8" width="5.21875" hidden="1" customWidth="1"/>
    <col min="9" max="9" width="11.33203125" bestFit="1" customWidth="1"/>
    <col min="10" max="10" width="33.77734375" bestFit="1" customWidth="1"/>
    <col min="11" max="11" width="10.33203125" bestFit="1" customWidth="1"/>
    <col min="12" max="12" width="8.77734375" hidden="1" customWidth="1"/>
  </cols>
  <sheetData>
    <row r="1" spans="1:6" x14ac:dyDescent="0.3">
      <c r="A1" s="8" t="s">
        <v>14</v>
      </c>
    </row>
    <row r="3" spans="1:6" ht="21" x14ac:dyDescent="0.4">
      <c r="A3" s="12" t="s">
        <v>13</v>
      </c>
      <c r="B3" s="13"/>
      <c r="C3" s="13"/>
      <c r="D3" s="13"/>
      <c r="E3" s="13"/>
      <c r="F3" s="13"/>
    </row>
    <row r="4" spans="1:6" ht="21" x14ac:dyDescent="0.4">
      <c r="A4" s="14" t="s">
        <v>5</v>
      </c>
      <c r="B4" s="14" t="s">
        <v>12</v>
      </c>
      <c r="C4" s="14" t="s">
        <v>11</v>
      </c>
      <c r="D4" s="14" t="s">
        <v>0</v>
      </c>
      <c r="E4" s="14" t="s">
        <v>1</v>
      </c>
      <c r="F4" s="14" t="s">
        <v>2</v>
      </c>
    </row>
    <row r="5" spans="1:6" ht="21" x14ac:dyDescent="0.4">
      <c r="A5" s="15" t="s">
        <v>6</v>
      </c>
      <c r="B5" s="16">
        <f>1700/26/8</f>
        <v>8.1730769230769234</v>
      </c>
      <c r="C5" s="17">
        <v>1</v>
      </c>
      <c r="D5" s="17">
        <v>8</v>
      </c>
      <c r="E5" s="17">
        <v>26</v>
      </c>
      <c r="F5" s="18">
        <f t="shared" ref="F5:F10" si="0">B5*C5*D5*E5</f>
        <v>1700</v>
      </c>
    </row>
    <row r="6" spans="1:6" ht="21" x14ac:dyDescent="0.4">
      <c r="A6" s="15" t="s">
        <v>7</v>
      </c>
      <c r="B6" s="16">
        <f>B5</f>
        <v>8.1730769230769234</v>
      </c>
      <c r="C6" s="17">
        <v>1.5</v>
      </c>
      <c r="D6" s="17">
        <v>4</v>
      </c>
      <c r="E6" s="17">
        <v>26</v>
      </c>
      <c r="F6" s="18">
        <f t="shared" si="0"/>
        <v>1275</v>
      </c>
    </row>
    <row r="7" spans="1:6" ht="21" x14ac:dyDescent="0.4">
      <c r="A7" s="15" t="s">
        <v>4</v>
      </c>
      <c r="B7" s="16">
        <f>B6</f>
        <v>8.1730769230769234</v>
      </c>
      <c r="C7" s="17">
        <v>1</v>
      </c>
      <c r="D7" s="17">
        <v>8</v>
      </c>
      <c r="E7" s="17">
        <v>4</v>
      </c>
      <c r="F7" s="18">
        <f t="shared" si="0"/>
        <v>261.53846153846155</v>
      </c>
    </row>
    <row r="8" spans="1:6" ht="21" x14ac:dyDescent="0.4">
      <c r="A8" s="15" t="s">
        <v>8</v>
      </c>
      <c r="B8" s="16">
        <f>B7</f>
        <v>8.1730769230769234</v>
      </c>
      <c r="C8" s="17">
        <v>2</v>
      </c>
      <c r="D8" s="17">
        <v>4</v>
      </c>
      <c r="E8" s="17">
        <v>4</v>
      </c>
      <c r="F8" s="18">
        <f t="shared" si="0"/>
        <v>261.53846153846155</v>
      </c>
    </row>
    <row r="9" spans="1:6" ht="21" x14ac:dyDescent="0.4">
      <c r="A9" s="15" t="s">
        <v>9</v>
      </c>
      <c r="B9" s="16">
        <f>B8</f>
        <v>8.1730769230769234</v>
      </c>
      <c r="C9" s="17">
        <v>2</v>
      </c>
      <c r="D9" s="17">
        <v>8</v>
      </c>
      <c r="E9" s="17">
        <v>1</v>
      </c>
      <c r="F9" s="19">
        <f t="shared" si="0"/>
        <v>130.76923076923077</v>
      </c>
    </row>
    <row r="10" spans="1:6" ht="21" x14ac:dyDescent="0.4">
      <c r="A10" s="15" t="s">
        <v>10</v>
      </c>
      <c r="B10" s="16">
        <f>B9</f>
        <v>8.1730769230769234</v>
      </c>
      <c r="C10" s="17">
        <v>3</v>
      </c>
      <c r="D10" s="17">
        <v>4</v>
      </c>
      <c r="E10" s="17">
        <v>1</v>
      </c>
      <c r="F10" s="19">
        <f t="shared" si="0"/>
        <v>98.07692307692308</v>
      </c>
    </row>
    <row r="11" spans="1:6" ht="21" x14ac:dyDescent="0.4">
      <c r="A11" s="15" t="s">
        <v>3</v>
      </c>
      <c r="B11" s="20"/>
      <c r="C11" s="19"/>
      <c r="D11" s="19"/>
      <c r="E11" s="19"/>
      <c r="F11" s="21">
        <f>SUM(F5:F10)</f>
        <v>3726.9230769230767</v>
      </c>
    </row>
    <row r="12" spans="1:6" ht="15.6" x14ac:dyDescent="0.3">
      <c r="A12" s="2"/>
      <c r="B12" s="5"/>
      <c r="C12" s="6"/>
      <c r="D12" s="6"/>
      <c r="E12" s="6"/>
      <c r="F12" s="7"/>
    </row>
    <row r="13" spans="1:6" ht="15.6" x14ac:dyDescent="0.3">
      <c r="A13" s="3"/>
      <c r="B13" s="1"/>
      <c r="C13" s="1">
        <f>D13/E13</f>
        <v>65.384615384615387</v>
      </c>
      <c r="D13" s="1">
        <v>1700</v>
      </c>
      <c r="E13" s="1">
        <v>26</v>
      </c>
      <c r="F13" s="1"/>
    </row>
    <row r="14" spans="1:6" ht="15.6" x14ac:dyDescent="0.3">
      <c r="A14" s="9"/>
      <c r="B14" s="9"/>
      <c r="C14" s="9">
        <f>D14/E14</f>
        <v>56.666666666666664</v>
      </c>
      <c r="D14" s="9">
        <v>1700</v>
      </c>
      <c r="E14" s="9">
        <v>30</v>
      </c>
      <c r="F14" s="9"/>
    </row>
    <row r="15" spans="1:6" ht="15.6" x14ac:dyDescent="0.3">
      <c r="A15" s="2"/>
      <c r="B15" s="10"/>
      <c r="C15" s="11"/>
      <c r="D15" s="11"/>
      <c r="E15" s="11"/>
      <c r="F15" s="4"/>
    </row>
    <row r="16" spans="1:6" ht="15.6" x14ac:dyDescent="0.3">
      <c r="A16" s="2"/>
      <c r="B16" s="10"/>
      <c r="C16" s="11"/>
      <c r="D16" s="11"/>
      <c r="E16" s="11"/>
      <c r="F16" s="4"/>
    </row>
    <row r="17" spans="1:6" ht="15.6" x14ac:dyDescent="0.3">
      <c r="A17" s="2"/>
      <c r="B17" s="10"/>
      <c r="C17" s="11"/>
      <c r="D17" s="11"/>
      <c r="E17" s="11"/>
      <c r="F17" s="4"/>
    </row>
    <row r="18" spans="1:6" ht="15.6" x14ac:dyDescent="0.3">
      <c r="A18" s="2"/>
      <c r="B18" s="10"/>
      <c r="C18" s="11"/>
      <c r="D18" s="11"/>
      <c r="E18" s="11"/>
      <c r="F18" s="4"/>
    </row>
    <row r="19" spans="1:6" ht="15.6" x14ac:dyDescent="0.3">
      <c r="A19" s="2"/>
      <c r="B19" s="10"/>
      <c r="C19" s="11"/>
      <c r="D19" s="11"/>
      <c r="E19" s="11"/>
      <c r="F19" s="6"/>
    </row>
    <row r="20" spans="1:6" ht="15.6" x14ac:dyDescent="0.3">
      <c r="A20" s="2"/>
      <c r="B20" s="10"/>
      <c r="C20" s="11"/>
      <c r="D20" s="11"/>
      <c r="E20" s="11"/>
      <c r="F20" s="6"/>
    </row>
    <row r="21" spans="1:6" ht="15.6" x14ac:dyDescent="0.3">
      <c r="A21" s="2"/>
      <c r="B21" s="5"/>
      <c r="C21" s="6"/>
      <c r="D21" s="6"/>
      <c r="E21" s="6"/>
      <c r="F21" s="7"/>
    </row>
  </sheetData>
  <pageMargins left="0.7" right="0.7" top="0.75" bottom="0.75" header="0.3" footer="0.3"/>
  <pageSetup paperSize="9" scale="54" orientation="portrait" r:id="rId1"/>
  <headerFooter>
    <oddHeader>&amp;L&amp;"-,Bold"DYNAMIC GUARDFORCE SDN. BHD. - UPECA SENIOR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SB</vt:lpstr>
      <vt:lpstr>SB!Print_Area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2025-07-02T08:31:51Z</cp:lastPrinted>
  <dcterms:created xsi:type="dcterms:W3CDTF">2019-03-01T06:14:27Z</dcterms:created>
  <dcterms:modified xsi:type="dcterms:W3CDTF">2026-06-23T11:10:58Z</dcterms:modified>
</cp:coreProperties>
</file>